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otation" sheetId="1" state="visible" r:id="rId1"/>
  </sheets>
  <definedNames>
    <definedName name="_xlnm.Print_Area" localSheetId="0">'Quotation'!$A$1:$H$55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&quot;Rp&quot;#,##0.00"/>
  </numFmts>
  <fonts count="8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sz val="8"/>
    </font>
    <font>
      <name val="Arial"/>
      <sz val="7"/>
    </font>
    <font>
      <name val="Arial"/>
      <b val="1"/>
      <color rgb="00FFFFFF"/>
      <sz val="8"/>
    </font>
    <font>
      <name val="Arial"/>
      <color rgb="000000FF"/>
      <sz val="8"/>
    </font>
    <font>
      <name val="Arial"/>
      <sz val="8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AF2FF"/>
      </patternFill>
    </fill>
  </fills>
  <borders count="33">
    <border>
      <left/>
      <right/>
      <top/>
      <bottom/>
      <diagonal/>
    </border>
    <border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left" vertical="top" wrapText="1"/>
    </xf>
    <xf numFmtId="0" fontId="0" fillId="0" borderId="6" pivotButton="0" quotePrefix="0" xfId="0"/>
    <xf numFmtId="0" fontId="1" fillId="0" borderId="6" applyAlignment="1" pivotButton="0" quotePrefix="0" xfId="0">
      <alignment horizontal="center" vertical="top" wrapText="1"/>
    </xf>
    <xf numFmtId="164" fontId="1" fillId="0" borderId="6" applyAlignment="1" pivotButton="0" quotePrefix="0" xfId="0">
      <alignment horizontal="center" vertical="top"/>
    </xf>
    <xf numFmtId="9" fontId="1" fillId="0" borderId="6" applyAlignment="1" pivotButton="0" quotePrefix="0" xfId="0">
      <alignment horizontal="center" vertical="top"/>
    </xf>
    <xf numFmtId="165" fontId="1" fillId="0" borderId="7" applyAlignment="1" pivotButton="0" quotePrefix="0" xfId="0">
      <alignment horizontal="center" vertical="top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9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1" fillId="0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top" wrapText="1"/>
    </xf>
    <xf numFmtId="1" fontId="5" fillId="3" borderId="6" applyAlignment="1" pivotButton="0" quotePrefix="0" xfId="0">
      <alignment horizontal="center" vertical="center" wrapText="1"/>
    </xf>
    <xf numFmtId="164" fontId="5" fillId="3" borderId="6" applyAlignment="1" pivotButton="0" quotePrefix="0" xfId="0">
      <alignment horizontal="center" vertical="center" wrapText="1"/>
    </xf>
    <xf numFmtId="9" fontId="5" fillId="3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left" vertical="top" wrapText="1"/>
    </xf>
    <xf numFmtId="1" fontId="5" fillId="3" borderId="9" applyAlignment="1" pivotButton="0" quotePrefix="0" xfId="0">
      <alignment horizontal="center" vertical="center" wrapText="1"/>
    </xf>
    <xf numFmtId="164" fontId="5" fillId="3" borderId="9" applyAlignment="1" pivotButton="0" quotePrefix="0" xfId="0">
      <alignment horizontal="center" vertical="center" wrapText="1"/>
    </xf>
    <xf numFmtId="9" fontId="5" fillId="3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20" pivotButton="0" quotePrefix="0" xfId="0"/>
    <xf numFmtId="0" fontId="0" fillId="0" borderId="25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26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27" pivotButton="0" quotePrefix="0" xfId="0"/>
    <xf numFmtId="0" fontId="0" fillId="0" borderId="2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647700"/>
    <pic>
      <nvPicPr>
        <cNvPr id="1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cols>
    <col width="4.300000190734863" customWidth="1" min="1" max="1"/>
    <col width="12.5" customWidth="1" min="2" max="2"/>
    <col width="12.5" customWidth="1" min="3" max="3"/>
    <col width="12.5" customWidth="1" min="4" max="4"/>
    <col width="7.5" customWidth="1" min="5" max="5"/>
    <col width="11.5" customWidth="1" min="6" max="6"/>
    <col width="6.5" customWidth="1" min="7" max="7"/>
    <col width="13.5" customWidth="1" min="8" max="8"/>
    <col width="2" customWidth="1" min="9" max="9"/>
    <col width="2" customWidth="1" min="10" max="10"/>
    <col width="15" customWidth="1" min="11" max="11"/>
    <col width="38" customWidth="1" min="12" max="12"/>
    <col width="9" customWidth="1" min="13" max="13"/>
    <col width="13" customWidth="1" min="14" max="14"/>
    <col width="9" customWidth="1" min="15" max="15"/>
  </cols>
  <sheetData>
    <row r="1" ht="24" customHeight="1">
      <c r="H1" s="1" t="inlineStr">
        <is>
          <t>QUOTATION</t>
        </is>
      </c>
    </row>
    <row r="2" ht="14" customHeight="1">
      <c r="F2" s="2" t="inlineStr">
        <is>
          <t>Date</t>
        </is>
      </c>
      <c r="G2" s="2" t="inlineStr">
        <is>
          <t>:</t>
        </is>
      </c>
      <c r="H2" s="2" t="inlineStr">
        <is>
          <t>9 Februari 2026</t>
        </is>
      </c>
    </row>
    <row r="3" ht="14" customHeight="1">
      <c r="A3" s="3" t="n"/>
      <c r="B3" s="3" t="n"/>
      <c r="C3" s="3" t="n"/>
      <c r="D3" s="3" t="n"/>
      <c r="E3" s="3" t="n"/>
      <c r="F3" s="4" t="inlineStr">
        <is>
          <t>Quotation No</t>
        </is>
      </c>
      <c r="G3" s="4" t="inlineStr">
        <is>
          <t>:</t>
        </is>
      </c>
      <c r="H3" s="4" t="inlineStr">
        <is>
          <t>025Q-CMII26</t>
        </is>
      </c>
    </row>
    <row r="4" ht="14" customHeight="1">
      <c r="A4" s="2" t="inlineStr">
        <is>
          <t>PT. Klimatek</t>
        </is>
      </c>
    </row>
    <row r="5" ht="14" customHeight="1">
      <c r="A5" s="2" t="inlineStr">
        <is>
          <t>Jl. Tengsaw Kp. Babakan, Desa Tarikolot,</t>
        </is>
      </c>
    </row>
    <row r="6" ht="14" customHeight="1">
      <c r="A6" s="2" t="inlineStr">
        <is>
          <t>RT. 003 RW. 005 Citeureup - Kab. Bogor</t>
        </is>
      </c>
    </row>
    <row r="7" ht="14" customHeight="1">
      <c r="A7" s="2" t="inlineStr">
        <is>
          <t>Jawa Barat - Indonesia</t>
        </is>
      </c>
    </row>
    <row r="8" ht="5" customHeight="1"/>
    <row r="9" ht="14" customHeight="1">
      <c r="A9" s="2" t="inlineStr">
        <is>
          <t>Contact Person</t>
        </is>
      </c>
      <c r="C9" s="2" t="inlineStr">
        <is>
          <t>Adjie / 0813 9835 9401</t>
        </is>
      </c>
    </row>
    <row r="10" ht="16" customHeight="1">
      <c r="A10" s="2" t="inlineStr">
        <is>
          <t>Prepared For</t>
        </is>
      </c>
      <c r="C10" s="5">
        <f>L59</f>
        <v/>
      </c>
    </row>
    <row r="11" ht="18" customHeight="1">
      <c r="C11" s="6">
        <f>L60&amp;CHAR(10)&amp;L61</f>
        <v/>
      </c>
    </row>
    <row r="12" ht="16" customHeight="1">
      <c r="A12" s="2" t="inlineStr">
        <is>
          <t>Attn</t>
        </is>
      </c>
      <c r="C12" s="5">
        <f>L62</f>
        <v/>
      </c>
    </row>
    <row r="13" ht="5" customHeight="1"/>
    <row r="14" ht="16" customHeight="1">
      <c r="A14" s="7" t="inlineStr">
        <is>
          <t>No</t>
        </is>
      </c>
      <c r="B14" s="8" t="inlineStr">
        <is>
          <t>Description</t>
        </is>
      </c>
      <c r="C14" s="46" t="n"/>
      <c r="D14" s="47" t="n"/>
      <c r="E14" s="8" t="inlineStr">
        <is>
          <t>QTY</t>
        </is>
      </c>
      <c r="F14" s="8" t="inlineStr">
        <is>
          <t>Price</t>
        </is>
      </c>
      <c r="G14" s="8" t="inlineStr">
        <is>
          <t>Disc</t>
        </is>
      </c>
      <c r="H14" s="10" t="inlineStr">
        <is>
          <t>Total Price</t>
        </is>
      </c>
    </row>
    <row r="15" ht="14.5" customHeight="1">
      <c r="A15" s="11" t="inlineStr">
        <is>
          <t>1</t>
        </is>
      </c>
      <c r="B15" s="12">
        <f>L65</f>
        <v/>
      </c>
      <c r="C15" s="48" t="n"/>
      <c r="D15" s="49" t="n"/>
      <c r="E15" s="14">
        <f>IF(M65="","",M65&amp;CHAR(10)&amp;"Unit")</f>
        <v/>
      </c>
      <c r="F15" s="15">
        <f>IF(N65="","",N65)</f>
        <v/>
      </c>
      <c r="G15" s="16">
        <f>IF(O65="","",O65)</f>
        <v/>
      </c>
      <c r="H15" s="17">
        <f>IF(OR(M65="",N65=""),"",ROUND(M65*N65*(1-O65),-3))</f>
        <v/>
      </c>
    </row>
    <row r="16" ht="14.5" customHeight="1">
      <c r="A16" s="50" t="n"/>
      <c r="B16" s="51" t="n"/>
      <c r="D16" s="52" t="n"/>
      <c r="E16" s="53" t="n"/>
      <c r="F16" s="53" t="n"/>
      <c r="G16" s="53" t="n"/>
      <c r="H16" s="54" t="n"/>
    </row>
    <row r="17" ht="14.5" customHeight="1">
      <c r="A17" s="50" t="n"/>
      <c r="B17" s="51" t="n"/>
      <c r="D17" s="52" t="n"/>
      <c r="E17" s="53" t="n"/>
      <c r="F17" s="53" t="n"/>
      <c r="G17" s="53" t="n"/>
      <c r="H17" s="54" t="n"/>
    </row>
    <row r="18" ht="14.5" customHeight="1">
      <c r="A18" s="50" t="n"/>
      <c r="B18" s="51" t="n"/>
      <c r="D18" s="52" t="n"/>
      <c r="E18" s="53" t="n"/>
      <c r="F18" s="53" t="n"/>
      <c r="G18" s="53" t="n"/>
      <c r="H18" s="54" t="n"/>
    </row>
    <row r="19" ht="14.5" customHeight="1">
      <c r="A19" s="50" t="n"/>
      <c r="B19" s="51" t="n"/>
      <c r="D19" s="52" t="n"/>
      <c r="E19" s="53" t="n"/>
      <c r="F19" s="53" t="n"/>
      <c r="G19" s="53" t="n"/>
      <c r="H19" s="54" t="n"/>
    </row>
    <row r="20" ht="14.5" customHeight="1">
      <c r="A20" s="50" t="n"/>
      <c r="B20" s="51" t="n"/>
      <c r="D20" s="52" t="n"/>
      <c r="E20" s="53" t="n"/>
      <c r="F20" s="53" t="n"/>
      <c r="G20" s="53" t="n"/>
      <c r="H20" s="54" t="n"/>
    </row>
    <row r="21" ht="14.5" customHeight="1">
      <c r="A21" s="50" t="n"/>
      <c r="B21" s="51" t="n"/>
      <c r="D21" s="52" t="n"/>
      <c r="E21" s="53" t="n"/>
      <c r="F21" s="53" t="n"/>
      <c r="G21" s="53" t="n"/>
      <c r="H21" s="54" t="n"/>
    </row>
    <row r="22" ht="14.5" customHeight="1">
      <c r="A22" s="50" t="n"/>
      <c r="B22" s="51" t="n"/>
      <c r="D22" s="52" t="n"/>
      <c r="E22" s="53" t="n"/>
      <c r="F22" s="53" t="n"/>
      <c r="G22" s="53" t="n"/>
      <c r="H22" s="54" t="n"/>
    </row>
    <row r="23" ht="14.5" customHeight="1">
      <c r="A23" s="50" t="n"/>
      <c r="B23" s="51" t="n"/>
      <c r="D23" s="52" t="n"/>
      <c r="E23" s="53" t="n"/>
      <c r="F23" s="53" t="n"/>
      <c r="G23" s="53" t="n"/>
      <c r="H23" s="54" t="n"/>
    </row>
    <row r="24" ht="14.5" customHeight="1">
      <c r="A24" s="50" t="n"/>
      <c r="B24" s="51" t="n"/>
      <c r="D24" s="52" t="n"/>
      <c r="E24" s="53" t="n"/>
      <c r="F24" s="53" t="n"/>
      <c r="G24" s="53" t="n"/>
      <c r="H24" s="54" t="n"/>
    </row>
    <row r="25" ht="14.5" customHeight="1">
      <c r="A25" s="55" t="n"/>
      <c r="B25" s="56" t="n"/>
      <c r="C25" s="57" t="n"/>
      <c r="D25" s="58" t="n"/>
      <c r="E25" s="59" t="n"/>
      <c r="F25" s="59" t="n"/>
      <c r="G25" s="59" t="n"/>
      <c r="H25" s="60" t="n"/>
    </row>
    <row r="26" ht="15" customHeight="1">
      <c r="A26" s="11" t="inlineStr">
        <is>
          <t>2</t>
        </is>
      </c>
      <c r="B26" s="12">
        <f>L66</f>
        <v/>
      </c>
      <c r="C26" s="48" t="n"/>
      <c r="D26" s="49" t="n"/>
      <c r="E26" s="14">
        <f>IF(M66="","",M66&amp;CHAR(10)&amp;"Unit")</f>
        <v/>
      </c>
      <c r="F26" s="15">
        <f>IF(N66="","",N66)</f>
        <v/>
      </c>
      <c r="G26" s="16">
        <f>IF(O66="","",O66)</f>
        <v/>
      </c>
      <c r="H26" s="17">
        <f>IF(OR(M66="",N66=""),"",ROUND(M66*N66*(1-O66),-3))</f>
        <v/>
      </c>
    </row>
    <row r="27" ht="15" customHeight="1">
      <c r="A27" s="50" t="n"/>
      <c r="B27" s="51" t="n"/>
      <c r="D27" s="52" t="n"/>
      <c r="E27" s="53" t="n"/>
      <c r="F27" s="53" t="n"/>
      <c r="G27" s="53" t="n"/>
      <c r="H27" s="54" t="n"/>
    </row>
    <row r="28" ht="15" customHeight="1">
      <c r="A28" s="50" t="n"/>
      <c r="B28" s="51" t="n"/>
      <c r="D28" s="52" t="n"/>
      <c r="E28" s="53" t="n"/>
      <c r="F28" s="53" t="n"/>
      <c r="G28" s="53" t="n"/>
      <c r="H28" s="54" t="n"/>
    </row>
    <row r="29" ht="15" customHeight="1">
      <c r="A29" s="50" t="n"/>
      <c r="B29" s="51" t="n"/>
      <c r="D29" s="52" t="n"/>
      <c r="E29" s="53" t="n"/>
      <c r="F29" s="53" t="n"/>
      <c r="G29" s="53" t="n"/>
      <c r="H29" s="54" t="n"/>
    </row>
    <row r="30" ht="15" customHeight="1">
      <c r="A30" s="50" t="n"/>
      <c r="B30" s="51" t="n"/>
      <c r="D30" s="52" t="n"/>
      <c r="E30" s="53" t="n"/>
      <c r="F30" s="53" t="n"/>
      <c r="G30" s="53" t="n"/>
      <c r="H30" s="54" t="n"/>
    </row>
    <row r="31" ht="15" customHeight="1">
      <c r="A31" s="50" t="n"/>
      <c r="B31" s="51" t="n"/>
      <c r="D31" s="52" t="n"/>
      <c r="E31" s="53" t="n"/>
      <c r="F31" s="53" t="n"/>
      <c r="G31" s="53" t="n"/>
      <c r="H31" s="54" t="n"/>
    </row>
    <row r="32" ht="15" customHeight="1">
      <c r="A32" s="50" t="n"/>
      <c r="B32" s="51" t="n"/>
      <c r="D32" s="52" t="n"/>
      <c r="E32" s="53" t="n"/>
      <c r="F32" s="53" t="n"/>
      <c r="G32" s="53" t="n"/>
      <c r="H32" s="54" t="n"/>
    </row>
    <row r="33" ht="15" customHeight="1">
      <c r="A33" s="50" t="n"/>
      <c r="B33" s="51" t="n"/>
      <c r="D33" s="52" t="n"/>
      <c r="E33" s="53" t="n"/>
      <c r="F33" s="53" t="n"/>
      <c r="G33" s="53" t="n"/>
      <c r="H33" s="54" t="n"/>
    </row>
    <row r="34" ht="15" customHeight="1">
      <c r="A34" s="50" t="n"/>
      <c r="B34" s="51" t="n"/>
      <c r="D34" s="52" t="n"/>
      <c r="E34" s="53" t="n"/>
      <c r="F34" s="53" t="n"/>
      <c r="G34" s="53" t="n"/>
      <c r="H34" s="54" t="n"/>
    </row>
    <row r="35" ht="15" customHeight="1">
      <c r="A35" s="50" t="n"/>
      <c r="B35" s="51" t="n"/>
      <c r="D35" s="52" t="n"/>
      <c r="E35" s="53" t="n"/>
      <c r="F35" s="53" t="n"/>
      <c r="G35" s="53" t="n"/>
      <c r="H35" s="54" t="n"/>
    </row>
    <row r="36" ht="15" customHeight="1">
      <c r="A36" s="55" t="n"/>
      <c r="B36" s="56" t="n"/>
      <c r="C36" s="57" t="n"/>
      <c r="D36" s="58" t="n"/>
      <c r="E36" s="59" t="n"/>
      <c r="F36" s="59" t="n"/>
      <c r="G36" s="59" t="n"/>
      <c r="H36" s="60" t="n"/>
    </row>
    <row r="37" ht="15" customHeight="1">
      <c r="A37" s="20" t="n"/>
      <c r="B37" s="21" t="n"/>
      <c r="C37" s="21" t="n"/>
      <c r="D37" s="21" t="n"/>
      <c r="E37" s="21" t="n"/>
      <c r="F37" s="22" t="inlineStr">
        <is>
          <t>Total</t>
        </is>
      </c>
      <c r="G37" s="21" t="n"/>
      <c r="H37" s="23">
        <f>SUM(H15,H26)</f>
        <v/>
      </c>
    </row>
    <row r="38" ht="5" customHeight="1"/>
    <row r="39" ht="15" customHeight="1">
      <c r="A39" s="24" t="inlineStr">
        <is>
          <t>Term and Condition :</t>
        </is>
      </c>
    </row>
    <row r="40" ht="14" customHeight="1">
      <c r="A40" s="2" t="inlineStr">
        <is>
          <t>• The above price Excluding PPn 11%</t>
        </is>
      </c>
    </row>
    <row r="41" ht="14" customHeight="1">
      <c r="A41" s="2" t="inlineStr">
        <is>
          <t>• The above price loco Jakarta on truck</t>
        </is>
      </c>
    </row>
    <row r="42" ht="14" customHeight="1">
      <c r="A42" s="2" t="inlineStr">
        <is>
          <t>• The above price Excluding OUTDOOR</t>
        </is>
      </c>
    </row>
    <row r="43" ht="14" customHeight="1">
      <c r="A43" s="2" t="inlineStr">
        <is>
          <t>• Price Excluded Installation</t>
        </is>
      </c>
    </row>
    <row r="44" ht="14" customHeight="1">
      <c r="A44" s="2" t="inlineStr">
        <is>
          <t>• The above price valid 15 Days from the date above</t>
        </is>
      </c>
    </row>
    <row r="45" ht="14" customHeight="1">
      <c r="A45" s="2" t="inlineStr">
        <is>
          <t>• Unit warranty 12 months after testing commissioning or 18 months after factory delivery whichever comes first.</t>
        </is>
      </c>
    </row>
    <row r="46" ht="14" customHeight="1">
      <c r="A46" s="2" t="inlineStr">
        <is>
          <t>• Time delivery: 8 - 10 weeks after DP</t>
        </is>
      </c>
    </row>
    <row r="47" ht="15" customHeight="1">
      <c r="A47" s="24" t="inlineStr">
        <is>
          <t>Term of Payment :</t>
        </is>
      </c>
    </row>
    <row r="48" ht="14" customHeight="1">
      <c r="A48" s="2" t="inlineStr">
        <is>
          <t>• 50% Down Payment DP</t>
        </is>
      </c>
    </row>
    <row r="49" ht="14" customHeight="1">
      <c r="A49" s="2" t="inlineStr">
        <is>
          <t>• 50% Before Delivery</t>
        </is>
      </c>
    </row>
    <row r="50" ht="4" customHeight="1"/>
    <row r="51" ht="12" customHeight="1">
      <c r="A51" s="61" t="inlineStr">
        <is>
          <t>Best Regards</t>
        </is>
      </c>
    </row>
    <row r="52" ht="12" customHeight="1">
      <c r="A52" s="62" t="inlineStr">
        <is>
          <t>Adjie Budiman</t>
        </is>
      </c>
    </row>
    <row r="53" ht="12" customHeight="1">
      <c r="A53" s="62" t="inlineStr">
        <is>
          <t>PT Klimatek</t>
        </is>
      </c>
    </row>
    <row r="54" ht="12" customHeight="1">
      <c r="A54" s="62" t="inlineStr">
        <is>
          <t>Email : adjie@klimatek.co.id</t>
        </is>
      </c>
    </row>
    <row r="55" ht="14" customHeight="1">
      <c r="A55" s="5" t="n"/>
    </row>
    <row r="56" ht="12" customHeight="1"/>
    <row r="57" ht="12" customHeight="1"/>
    <row r="58" ht="16" customHeight="1">
      <c r="K58" s="25" t="inlineStr">
        <is>
          <t>INPUT AREA (outside print area)</t>
        </is>
      </c>
      <c r="L58" s="46" t="n"/>
      <c r="M58" s="46" t="n"/>
      <c r="N58" s="46" t="n"/>
      <c r="O58" s="47" t="n"/>
    </row>
    <row r="59" ht="16" customHeight="1">
      <c r="K59" s="28" t="inlineStr">
        <is>
          <t>Customer Name</t>
        </is>
      </c>
      <c r="L59" s="29" t="inlineStr">
        <is>
          <t>PT JAYA NURIMBA</t>
        </is>
      </c>
      <c r="M59" s="63" t="n"/>
      <c r="N59" s="63" t="n"/>
      <c r="O59" s="64" t="n"/>
    </row>
    <row r="60" ht="16" customHeight="1">
      <c r="K60" s="28" t="inlineStr">
        <is>
          <t>Customer Address 1</t>
        </is>
      </c>
      <c r="L60" s="29" t="inlineStr">
        <is>
          <t>Jl. Raya Teuku Umar No.Km.45, Gandasari</t>
        </is>
      </c>
      <c r="M60" s="63" t="n"/>
      <c r="N60" s="63" t="n"/>
      <c r="O60" s="64" t="n"/>
    </row>
    <row r="61" ht="16" customHeight="1">
      <c r="K61" s="28" t="inlineStr">
        <is>
          <t>Customer Address 2</t>
        </is>
      </c>
      <c r="L61" s="29" t="inlineStr">
        <is>
          <t>Kec. Cikarang Bar., Kabupaten Bekasi, Jawa Barat 17530</t>
        </is>
      </c>
      <c r="M61" s="63" t="n"/>
      <c r="N61" s="63" t="n"/>
      <c r="O61" s="64" t="n"/>
    </row>
    <row r="62" ht="16" customHeight="1">
      <c r="K62" s="30" t="inlineStr">
        <is>
          <t>Attention</t>
        </is>
      </c>
      <c r="L62" s="31" t="inlineStr">
        <is>
          <t>Bapak Marcus</t>
        </is>
      </c>
      <c r="M62" s="65" t="n"/>
      <c r="N62" s="65" t="n"/>
      <c r="O62" s="66" t="n"/>
    </row>
    <row r="63" ht="6" customHeight="1"/>
    <row r="64" ht="16" customHeight="1">
      <c r="K64" s="33" t="inlineStr">
        <is>
          <t>Line</t>
        </is>
      </c>
      <c r="L64" s="34" t="inlineStr">
        <is>
          <t>Quotation Description</t>
        </is>
      </c>
      <c r="M64" s="34" t="inlineStr">
        <is>
          <t>Quantity</t>
        </is>
      </c>
      <c r="N64" s="34" t="inlineStr">
        <is>
          <t>Price</t>
        </is>
      </c>
      <c r="O64" s="35" t="inlineStr">
        <is>
          <t>Discount</t>
        </is>
      </c>
    </row>
    <row r="65" ht="92" customHeight="1">
      <c r="K65" s="36" t="inlineStr">
        <is>
          <t>1</t>
        </is>
      </c>
      <c r="L65" s="37" t="inlineStr">
        <is>
          <t>AHU (CLW46)
AHU R.CCP
Dimensi Unit      : 4100 x 2800 x 2580 mm
Flow              : 46.664 m3/h
ESP               : 500 Pa
Cooling Capacity  : 385,28 kW
Heating Capacity  : 160,2 kW
Filter            : G4 - F8 Filtrasi
Supply Plug Fan   : SYWB 1000R
Motor Power       : AC Motor (30 kW)</t>
        </is>
      </c>
      <c r="M65" s="38" t="n">
        <v>2</v>
      </c>
      <c r="N65" s="39" t="n">
        <v>690666667</v>
      </c>
      <c r="O65" s="40" t="n">
        <v>0.25</v>
      </c>
    </row>
    <row r="66" ht="148" customHeight="1">
      <c r="K66" s="41" t="inlineStr">
        <is>
          <t>2</t>
        </is>
      </c>
      <c r="L66" s="42" t="inlineStr">
        <is>
          <t>AHU (CLW24)
AHU R.METALIS
Dimensi Unit      : 3900 x 2100 x 1800 mm
Flow              : 24.538 m3/h
ESP               : 500 Pa
Cooling Capacity  : 200,2 kW
Filter            : G4 - F8 Filtrasi
Supply Plug Fan   : SYWB 800R
Motor Power       : AC Motor (15 kW)
AHU shall consist of:
1. 45 mm insulation thickness
2. Hydrophilic Cooling Coil
3. View Port Glass
4. Volume Damper
5. Yilida Suply Plug Fan
6. G4 Pre Filter - F8 Medium Filter
7. All services area completed with maintenance lighting
8. Aluminium Frame, Non Leakage</t>
        </is>
      </c>
      <c r="M66" s="43" t="n">
        <v>1</v>
      </c>
      <c r="N66" s="44" t="n">
        <v>431333333</v>
      </c>
      <c r="O66" s="45" t="n">
        <v>0.25</v>
      </c>
    </row>
  </sheetData>
  <mergeCells count="26">
    <mergeCell ref="A1:D2"/>
    <mergeCell ref="C10:H10"/>
    <mergeCell ref="B14:D14"/>
    <mergeCell ref="L60:O60"/>
    <mergeCell ref="F26:F36"/>
    <mergeCell ref="C9:H9"/>
    <mergeCell ref="L59:O59"/>
    <mergeCell ref="C12:H12"/>
    <mergeCell ref="E15:E25"/>
    <mergeCell ref="C11:H11"/>
    <mergeCell ref="L61:O61"/>
    <mergeCell ref="A26:A36"/>
    <mergeCell ref="G15:G25"/>
    <mergeCell ref="A12:B12"/>
    <mergeCell ref="K58:O58"/>
    <mergeCell ref="E26:E36"/>
    <mergeCell ref="G26:G36"/>
    <mergeCell ref="H15:H25"/>
    <mergeCell ref="L62:O62"/>
    <mergeCell ref="B15:D25"/>
    <mergeCell ref="A15:A25"/>
    <mergeCell ref="H26:H36"/>
    <mergeCell ref="A10:B10"/>
    <mergeCell ref="A9:B9"/>
    <mergeCell ref="F15:F25"/>
    <mergeCell ref="B26:D36"/>
  </mergeCells>
  <pageMargins left="0.35" right="0.35" top="0.45" bottom="0.45" header="0.2" footer="0.2"/>
  <pageSetup orientation="portrait" paperSize="9" scale="85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2026-03-07T09:40:27Z</dcterms:created>
  <dcterms:modified xmlns:dcterms="http://purl.org/dc/terms/" xmlns:xsi="http://www.w3.org/2001/XMLSchema-instance" xsi:type="dcterms:W3CDTF">2026-03-07T09:46:13Z</dcterms:modified>
</cp:coreProperties>
</file>